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3bf58b862b45c7a/Desktop/Individual Major project/"/>
    </mc:Choice>
  </mc:AlternateContent>
  <xr:revisionPtr revIDLastSave="17" documentId="8_{0C712FC5-F557-4AB7-987A-7590C7BEC247}" xr6:coauthVersionLast="47" xr6:coauthVersionMax="47" xr10:uidLastSave="{20774A8D-C001-4CE2-B54F-69E37BB7323B}"/>
  <bookViews>
    <workbookView xWindow="-108" yWindow="-108" windowWidth="23256" windowHeight="13896" xr2:uid="{00000000-000D-0000-FFFF-FFFF00000000}"/>
  </bookViews>
  <sheets>
    <sheet name="Project Planner" sheetId="1" r:id="rId1"/>
  </sheets>
  <definedNames>
    <definedName name="_xlnm.Print_Titles" localSheetId="0">'Project Planner'!$3:$4</definedName>
    <definedName name="TitleRegion..BO60">'Project Planner'!$B$3:$B$4</definedName>
  </definedNames>
  <calcPr calcId="0"/>
</workbook>
</file>

<file path=xl/sharedStrings.xml><?xml version="1.0" encoding="utf-8"?>
<sst xmlns="http://schemas.openxmlformats.org/spreadsheetml/2006/main" count="48" uniqueCount="48">
  <si>
    <t>Gantt Chart</t>
  </si>
  <si>
    <t>Timeline Highlight:</t>
  </si>
  <si>
    <t>Plan Duration</t>
  </si>
  <si>
    <t>Actual Start</t>
  </si>
  <si>
    <t>TASK</t>
  </si>
  <si>
    <t>PLAN START</t>
  </si>
  <si>
    <t>PLAN DURATION</t>
  </si>
  <si>
    <t>PLAN END</t>
  </si>
  <si>
    <t>ACTUAL START</t>
  </si>
  <si>
    <t>ACTUAL DURATION (Days)</t>
  </si>
  <si>
    <t>PERCENT COMPLETE</t>
  </si>
  <si>
    <t>Phase 1: Design and Procurement</t>
  </si>
  <si>
    <t>Receive and inspect components</t>
  </si>
  <si>
    <t>Phase 2: Chassis Fabrication</t>
  </si>
  <si>
    <t>3D print chassis parts</t>
  </si>
  <si>
    <t>Post-process and assemble chassis</t>
  </si>
  <si>
    <t>Phase 3: Electronic Integration</t>
  </si>
  <si>
    <t>Fit motors, wheels, encoders</t>
  </si>
  <si>
    <t>Solder motor driver and power distribution</t>
  </si>
  <si>
    <t>Wire Pi 5, IMU, GNSS, ultrasonic sensors</t>
  </si>
  <si>
    <t>Install ROS2 Jazzy, configure workspace</t>
  </si>
  <si>
    <t>Write and test sensor ROS2 nodes</t>
  </si>
  <si>
    <t>Bench test full electronics stack</t>
  </si>
  <si>
    <t>Phase 4: Navigation Stack</t>
  </si>
  <si>
    <t>Configure robot_localization EKF</t>
  </si>
  <si>
    <t>Configure nav2 waypoint follower</t>
  </si>
  <si>
    <t>Implement ultrasonic emergency stop</t>
  </si>
  <si>
    <t>Indoor corridor test (5 waypoints, 10 m)</t>
  </si>
  <si>
    <t>Tune PID and navigation parameters</t>
  </si>
  <si>
    <t>Phase 5: AI Pipeline &amp; Dashboard</t>
  </si>
  <si>
    <t>Collect and label plant images</t>
  </si>
  <si>
    <t>Fine-tune MobileNetV3 (transfer learning)</t>
  </si>
  <si>
    <t>Convert to TensorFlow Lite, optimise for Pi 5</t>
  </si>
  <si>
    <t>Integrate camera trigger at waypoints</t>
  </si>
  <si>
    <t>Build Flask backend API</t>
  </si>
  <si>
    <t>Build Leaflet frontend with GPS markers</t>
  </si>
  <si>
    <t>Phase 6: Integration &amp; Field Testing</t>
  </si>
  <si>
    <t>Merge navigation + AI + dashboard code</t>
  </si>
  <si>
    <t>Lab dry-run with full system</t>
  </si>
  <si>
    <t>Outdoor field tests (3 runs, 10 m row, 5 stops)</t>
  </si>
  <si>
    <t>Phase 7: Report &amp; Defence</t>
  </si>
  <si>
    <t>Document results, analyse metrics</t>
  </si>
  <si>
    <t>Write final report (Introduction, Methodology, Results)</t>
  </si>
  <si>
    <t>Prepare presentation slides for defence</t>
  </si>
  <si>
    <t>Record demo video of robot operation</t>
  </si>
  <si>
    <t>Final revisions and submission</t>
  </si>
  <si>
    <t>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</si>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</sst>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 mmm"/>
    <numFmt numFmtId="165" formatCode="dd\ mmm\ yyyy"/>
    <numFmt numFmtId="166" formatCode="0.0&quot; wk&quot;"/>
    <numFmt numFmtId="167" formatCode="0.0&quot; day&quot;"/>
  </numFmts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8"/>
      <name val="Corbel"/>
    </font>
    <font>
      <sz val="11"/>
      <color theme="2" tint="-0.249977111117893"/>
      <name val="Corbel"/>
      <family val="2"/>
      <scheme val="major"/>
    </font>
  </fonts>
  <fills count="10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/>
      <top style="thin">
        <color theme="9" tint="-0.24994659260841701"/>
      </top>
      <bottom/>
      <diagonal/>
    </border>
  </borders>
  <cellStyleXfs count="19">
    <xf numFmtId="0" fontId="0" fillId="0" borderId="0">
      <alignment horizontal="center" vertical="center"/>
    </xf>
    <xf numFmtId="0" fontId="7" fillId="0" borderId="0"/>
    <xf numFmtId="0" fontId="2" fillId="0" borderId="0">
      <alignment horizontal="left" wrapText="1"/>
    </xf>
    <xf numFmtId="3" fontId="9" fillId="0" borderId="2">
      <alignment horizontal="center"/>
    </xf>
    <xf numFmtId="0" fontId="9" fillId="0" borderId="0">
      <alignment horizontal="center" wrapText="1"/>
    </xf>
    <xf numFmtId="0" fontId="1" fillId="0" borderId="0">
      <alignment horizontal="left" vertical="center"/>
    </xf>
    <xf numFmtId="9" fontId="3" fillId="0" borderId="0">
      <alignment horizontal="center" vertical="center"/>
    </xf>
    <xf numFmtId="0" fontId="8" fillId="6" borderId="1">
      <alignment horizontal="left"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horizontal="center" vertical="center" wrapText="1"/>
    </xf>
    <xf numFmtId="0" fontId="9" fillId="0" borderId="0">
      <alignment horizontal="left"/>
    </xf>
    <xf numFmtId="0" fontId="11" fillId="0" borderId="0">
      <alignment vertical="center"/>
    </xf>
    <xf numFmtId="1" fontId="12" fillId="6" borderId="1">
      <alignment horizontal="center" vertical="center"/>
    </xf>
    <xf numFmtId="0" fontId="10" fillId="2" borderId="4">
      <alignment horizontal="center"/>
    </xf>
    <xf numFmtId="0" fontId="10" fillId="3" borderId="3">
      <alignment horizontal="center"/>
    </xf>
    <xf numFmtId="0" fontId="10" fillId="4" borderId="3">
      <alignment horizontal="center"/>
    </xf>
    <xf numFmtId="0" fontId="10" fillId="5" borderId="3">
      <alignment horizontal="center"/>
    </xf>
    <xf numFmtId="0" fontId="10" fillId="7" borderId="3">
      <alignment horizontal="center"/>
    </xf>
  </cellStyleXfs>
  <cellXfs count="37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9" fillId="0" borderId="0" xfId="11">
      <alignment horizontal="left"/>
    </xf>
    <xf numFmtId="0" fontId="11" fillId="0" borderId="0" xfId="12">
      <alignment vertical="center"/>
    </xf>
    <xf numFmtId="0" fontId="0" fillId="0" borderId="0" xfId="0" applyAlignment="1"/>
    <xf numFmtId="165" fontId="0" fillId="0" borderId="0" xfId="0" applyNumberFormat="1">
      <alignment horizontal="center" vertical="center"/>
    </xf>
    <xf numFmtId="166" fontId="0" fillId="0" borderId="0" xfId="0" applyNumberFormat="1">
      <alignment horizontal="center" vertical="center"/>
    </xf>
    <xf numFmtId="165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0" fillId="0" borderId="0" xfId="0" applyAlignment="1"/>
    <xf numFmtId="0" fontId="0" fillId="0" borderId="7" xfId="5" applyFont="1" applyBorder="1">
      <alignment horizontal="left" vertical="center"/>
    </xf>
    <xf numFmtId="0" fontId="0" fillId="0" borderId="0" xfId="0" applyAlignment="1">
      <alignment horizontal="center"/>
    </xf>
    <xf numFmtId="0" fontId="0" fillId="0" borderId="5" xfId="0" applyBorder="1" applyAlignment="1"/>
    <xf numFmtId="0" fontId="6" fillId="0" borderId="7" xfId="5" applyFont="1" applyBorder="1">
      <alignment horizontal="left" vertical="center"/>
    </xf>
    <xf numFmtId="0" fontId="9" fillId="0" borderId="2" xfId="10" applyBorder="1" applyAlignment="1">
      <alignment vertical="center" wrapText="1"/>
    </xf>
    <xf numFmtId="0" fontId="9" fillId="0" borderId="2" xfId="9" applyBorder="1" applyAlignment="1">
      <alignment vertical="center"/>
    </xf>
    <xf numFmtId="0" fontId="8" fillId="0" borderId="6" xfId="0" applyFont="1" applyBorder="1" applyAlignment="1">
      <alignment vertical="center" wrapText="1"/>
    </xf>
    <xf numFmtId="0" fontId="9" fillId="0" borderId="0" xfId="10" applyBorder="1" applyAlignment="1">
      <alignment vertical="center" wrapText="1"/>
    </xf>
    <xf numFmtId="0" fontId="9" fillId="0" borderId="0" xfId="9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9" fillId="0" borderId="8" xfId="10" applyBorder="1" applyAlignment="1">
      <alignment vertical="center" wrapText="1"/>
    </xf>
    <xf numFmtId="0" fontId="0" fillId="0" borderId="0" xfId="0" applyAlignment="1">
      <alignment vertical="center"/>
    </xf>
    <xf numFmtId="164" fontId="13" fillId="0" borderId="2" xfId="3" applyNumberFormat="1" applyFont="1" applyAlignment="1"/>
    <xf numFmtId="0" fontId="0" fillId="8" borderId="0" xfId="0" applyFill="1" applyAlignment="1">
      <alignment horizontal="center"/>
    </xf>
    <xf numFmtId="0" fontId="0" fillId="9" borderId="3" xfId="16" applyFont="1" applyFill="1">
      <alignment horizontal="center"/>
    </xf>
    <xf numFmtId="0" fontId="14" fillId="2" borderId="4" xfId="14" applyFont="1">
      <alignment horizontal="center"/>
    </xf>
  </cellXfs>
  <cellStyles count="19">
    <cellStyle name="% complete" xfId="16" xr:uid="{00000000-0005-0000-0000-000010000000}"/>
    <cellStyle name="% complete (beyond plan) legend" xfId="18" xr:uid="{00000000-0005-0000-0000-000012000000}"/>
    <cellStyle name="Activity" xfId="2" xr:uid="{00000000-0005-0000-0000-000002000000}"/>
    <cellStyle name="Actual (beyond plan) legend" xfId="17" xr:uid="{00000000-0005-0000-0000-000011000000}"/>
    <cellStyle name="Actual legend" xfId="15" xr:uid="{00000000-0005-0000-0000-00000F000000}"/>
    <cellStyle name="Explanatory Text" xfId="12" builtinId="53"/>
    <cellStyle name="Heading 1" xfId="1" builtinId="16"/>
    <cellStyle name="Heading 2" xfId="9" builtinId="17"/>
    <cellStyle name="Heading 3" xfId="10" builtinId="18"/>
    <cellStyle name="Heading 4" xfId="11" builtinId="19"/>
    <cellStyle name="Label" xfId="5" xr:uid="{00000000-0005-0000-0000-000005000000}"/>
    <cellStyle name="Normal" xfId="0" builtinId="0"/>
    <cellStyle name="Percent Complete" xfId="6" xr:uid="{00000000-0005-0000-0000-000006000000}"/>
    <cellStyle name="Period Headers" xfId="3" xr:uid="{00000000-0005-0000-0000-000003000000}"/>
    <cellStyle name="Period Highlight Control" xfId="7" xr:uid="{00000000-0005-0000-0000-000007000000}"/>
    <cellStyle name="Period Value" xfId="13" xr:uid="{00000000-0005-0000-0000-00000D000000}"/>
    <cellStyle name="Plan legend" xfId="14" xr:uid="{00000000-0005-0000-0000-00000E000000}"/>
    <cellStyle name="Project Headers" xfId="4" xr:uid="{00000000-0005-0000-0000-000004000000}"/>
    <cellStyle name="Title" xfId="8" builtinId="15"/>
  </cellStyles>
  <dxfs count="33">
    <dxf>
      <fill>
        <patternFill patternType="solid">
          <fgColor rgb="FF70AD47"/>
          <bgColor rgb="FF70AD4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colors>
    <mruColors>
      <color rgb="FF1969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O39"/>
  <sheetViews>
    <sheetView showGridLines="0" tabSelected="1" zoomScale="45" zoomScaleNormal="50" zoomScaleSheetLayoutView="80" workbookViewId="0">
      <selection activeCell="V21" sqref="V21"/>
    </sheetView>
  </sheetViews>
  <sheetFormatPr defaultColWidth="2.77734375" defaultRowHeight="30" customHeight="1" x14ac:dyDescent="0.35"/>
  <cols>
    <col min="1" max="1" width="2.6640625" style="15" customWidth="1"/>
    <col min="2" max="2" width="50" style="2" bestFit="1" customWidth="1"/>
    <col min="3" max="3" width="14" style="1" customWidth="1"/>
    <col min="4" max="5" width="14" style="15" customWidth="1"/>
    <col min="6" max="6" width="15.44140625" style="15" bestFit="1" customWidth="1"/>
    <col min="7" max="7" width="20" style="15" customWidth="1"/>
    <col min="8" max="8" width="16" style="3" customWidth="1"/>
    <col min="9" max="9" width="8.5546875" style="1" bestFit="1" customWidth="1"/>
    <col min="10" max="10" width="6.21875" style="1" bestFit="1" customWidth="1"/>
    <col min="11" max="11" width="5.88671875" style="1" bestFit="1" customWidth="1"/>
    <col min="12" max="13" width="6.21875" style="1" bestFit="1" customWidth="1"/>
    <col min="14" max="14" width="5.44140625" style="1" bestFit="1" customWidth="1"/>
    <col min="15" max="15" width="5.109375" style="1" bestFit="1" customWidth="1"/>
    <col min="16" max="17" width="5.44140625" style="1" bestFit="1" customWidth="1"/>
    <col min="18" max="18" width="6.44140625" style="1" bestFit="1" customWidth="1"/>
    <col min="19" max="19" width="5.88671875" style="1" bestFit="1" customWidth="1"/>
    <col min="20" max="26" width="6.44140625" style="1" bestFit="1" customWidth="1"/>
    <col min="27" max="27" width="6.88671875" style="1" bestFit="1" customWidth="1"/>
    <col min="28" max="28" width="6.44140625" style="15" bestFit="1" customWidth="1"/>
    <col min="29" max="37" width="6.88671875" style="15" bestFit="1" customWidth="1"/>
    <col min="38" max="38" width="6.44140625" style="15" bestFit="1" customWidth="1"/>
    <col min="39" max="47" width="6.88671875" style="15" bestFit="1" customWidth="1"/>
    <col min="48" max="48" width="6.44140625" style="15" bestFit="1" customWidth="1"/>
    <col min="49" max="57" width="6.88671875" style="15" bestFit="1" customWidth="1"/>
    <col min="58" max="58" width="6.44140625" style="15" bestFit="1" customWidth="1"/>
    <col min="59" max="67" width="6.88671875" style="15" bestFit="1" customWidth="1"/>
  </cols>
  <sheetData>
    <row r="1" spans="1:67" ht="60" customHeight="1" thickBot="1" x14ac:dyDescent="1.05">
      <c r="B1" s="11" t="s">
        <v>0</v>
      </c>
      <c r="C1" s="10"/>
      <c r="D1" s="10"/>
      <c r="E1" s="10"/>
      <c r="F1" s="10"/>
      <c r="G1" s="10"/>
      <c r="H1" s="10"/>
    </row>
    <row r="2" spans="1:67" ht="21" customHeight="1" thickTop="1" thickBot="1" x14ac:dyDescent="0.35">
      <c r="B2" s="14"/>
      <c r="C2" s="14"/>
      <c r="D2" s="14"/>
      <c r="E2" s="14"/>
      <c r="F2" s="14"/>
      <c r="G2" s="14"/>
      <c r="H2" s="4" t="s">
        <v>1</v>
      </c>
      <c r="I2" s="12">
        <v>1</v>
      </c>
      <c r="K2" s="36"/>
      <c r="L2" s="24" t="s">
        <v>2</v>
      </c>
      <c r="M2" s="22"/>
      <c r="N2" s="22"/>
      <c r="O2" s="22"/>
      <c r="P2" s="23"/>
      <c r="Q2" s="34"/>
      <c r="R2" s="24" t="s">
        <v>3</v>
      </c>
      <c r="S2" s="22"/>
      <c r="T2" s="22"/>
      <c r="U2" s="23"/>
      <c r="V2" s="35"/>
      <c r="W2" s="21"/>
      <c r="X2" s="22"/>
      <c r="Y2" s="23"/>
      <c r="Z2" s="21"/>
      <c r="AA2" s="20"/>
      <c r="AB2" s="20"/>
      <c r="AC2" s="20"/>
      <c r="AD2" s="20"/>
      <c r="AE2" s="20"/>
      <c r="AF2" s="23"/>
      <c r="BF2"/>
      <c r="BG2"/>
      <c r="BH2"/>
      <c r="BI2"/>
      <c r="BJ2"/>
      <c r="BK2"/>
      <c r="BL2"/>
      <c r="BM2"/>
      <c r="BN2"/>
      <c r="BO2"/>
    </row>
    <row r="3" spans="1:67" s="9" customFormat="1" ht="39.9" customHeight="1" thickTop="1" x14ac:dyDescent="0.3">
      <c r="B3" s="29" t="s">
        <v>4</v>
      </c>
      <c r="C3" s="28" t="s">
        <v>5</v>
      </c>
      <c r="D3" s="28" t="s">
        <v>6</v>
      </c>
      <c r="E3" s="30" t="s">
        <v>7</v>
      </c>
      <c r="F3" s="28" t="s">
        <v>8</v>
      </c>
      <c r="G3" s="28" t="s">
        <v>9</v>
      </c>
      <c r="H3" s="31" t="s">
        <v>10</v>
      </c>
      <c r="I3" s="13" t="s">
        <v>46</v>
      </c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67" s="32" customFormat="1" ht="15.75" customHeight="1" x14ac:dyDescent="0.3">
      <c r="A4" s="15"/>
      <c r="B4" s="26"/>
      <c r="C4" s="25"/>
      <c r="D4" s="25"/>
      <c r="E4" s="27"/>
      <c r="F4" s="25"/>
      <c r="G4" s="25"/>
      <c r="H4" s="25"/>
      <c r="I4" s="33">
        <v>46266</v>
      </c>
      <c r="J4" s="33">
        <v>46273</v>
      </c>
      <c r="K4" s="33">
        <v>46280</v>
      </c>
      <c r="L4" s="33">
        <v>46287</v>
      </c>
      <c r="M4" s="33">
        <v>46294</v>
      </c>
      <c r="N4" s="33">
        <v>46301</v>
      </c>
      <c r="O4" s="33">
        <v>46308</v>
      </c>
      <c r="P4" s="33">
        <v>46315</v>
      </c>
      <c r="Q4" s="33">
        <v>46322</v>
      </c>
      <c r="R4" s="33">
        <v>46329</v>
      </c>
      <c r="S4" s="33">
        <v>46336</v>
      </c>
      <c r="T4" s="33">
        <v>46343</v>
      </c>
      <c r="U4" s="33">
        <v>46350</v>
      </c>
      <c r="V4" s="33">
        <v>46357</v>
      </c>
      <c r="W4" s="33">
        <v>46364</v>
      </c>
    </row>
    <row r="5" spans="1:67" ht="30" customHeight="1" x14ac:dyDescent="0.35">
      <c r="B5" s="2" t="s">
        <v>11</v>
      </c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</row>
    <row r="6" spans="1:67" ht="30" customHeight="1" x14ac:dyDescent="0.3">
      <c r="B6" t="s">
        <v>12</v>
      </c>
      <c r="C6" s="16">
        <v>46266</v>
      </c>
      <c r="D6" s="17">
        <v>0.5</v>
      </c>
      <c r="E6" s="16">
        <v>46269.5</v>
      </c>
      <c r="F6" s="18">
        <v>46266</v>
      </c>
      <c r="G6" s="19">
        <v>3.5</v>
      </c>
      <c r="H6" s="6">
        <v>1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</row>
    <row r="7" spans="1:67" ht="30" customHeight="1" x14ac:dyDescent="0.35">
      <c r="B7" s="2" t="s">
        <v>13</v>
      </c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</row>
    <row r="8" spans="1:67" ht="30" customHeight="1" x14ac:dyDescent="0.3">
      <c r="B8" t="s">
        <v>14</v>
      </c>
      <c r="C8" s="16">
        <v>46266</v>
      </c>
      <c r="D8" s="17">
        <v>1</v>
      </c>
      <c r="E8" s="16">
        <v>46273</v>
      </c>
      <c r="F8" s="18">
        <v>46266</v>
      </c>
      <c r="G8" s="19">
        <v>7</v>
      </c>
      <c r="H8" s="6">
        <v>1</v>
      </c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</row>
    <row r="9" spans="1:67" ht="30" customHeight="1" x14ac:dyDescent="0.3">
      <c r="B9" t="s">
        <v>15</v>
      </c>
      <c r="C9" s="16">
        <v>46273</v>
      </c>
      <c r="D9" s="17">
        <v>1</v>
      </c>
      <c r="E9" s="16">
        <v>46280</v>
      </c>
      <c r="F9" s="18">
        <v>46273</v>
      </c>
      <c r="G9" s="19">
        <v>7</v>
      </c>
      <c r="H9" s="6">
        <v>1</v>
      </c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</row>
    <row r="10" spans="1:67" ht="30" customHeight="1" x14ac:dyDescent="0.35">
      <c r="B10" s="2" t="s">
        <v>16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</row>
    <row r="11" spans="1:67" ht="30" customHeight="1" x14ac:dyDescent="0.3">
      <c r="B11" t="s">
        <v>17</v>
      </c>
      <c r="C11" s="16">
        <v>46280</v>
      </c>
      <c r="D11" s="17">
        <v>0.5</v>
      </c>
      <c r="E11" s="16">
        <v>46283.5</v>
      </c>
      <c r="F11" s="18">
        <v>46276.5</v>
      </c>
      <c r="G11" s="19">
        <v>3.5</v>
      </c>
      <c r="H11" s="6">
        <v>0.75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</row>
    <row r="12" spans="1:67" ht="30" customHeight="1" x14ac:dyDescent="0.3">
      <c r="B12" t="s">
        <v>18</v>
      </c>
      <c r="C12" s="16">
        <v>46283.5</v>
      </c>
      <c r="D12" s="17">
        <v>0.5</v>
      </c>
      <c r="E12" s="16">
        <v>46287</v>
      </c>
      <c r="F12" s="18">
        <v>46283.5</v>
      </c>
      <c r="G12" s="19">
        <v>3.5</v>
      </c>
      <c r="H12" s="6">
        <v>1</v>
      </c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</row>
    <row r="13" spans="1:67" ht="30" customHeight="1" x14ac:dyDescent="0.3">
      <c r="B13" t="s">
        <v>19</v>
      </c>
      <c r="C13" s="16">
        <v>46287</v>
      </c>
      <c r="D13" s="17">
        <v>0.5</v>
      </c>
      <c r="E13" s="16">
        <v>46290.5</v>
      </c>
      <c r="F13" s="18">
        <v>46280</v>
      </c>
      <c r="G13" s="19">
        <v>3.5</v>
      </c>
      <c r="H13" s="6">
        <v>0.35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</row>
    <row r="14" spans="1:67" ht="30" customHeight="1" x14ac:dyDescent="0.3">
      <c r="B14" t="s">
        <v>20</v>
      </c>
      <c r="C14" s="16">
        <v>46287</v>
      </c>
      <c r="D14" s="17">
        <v>1</v>
      </c>
      <c r="E14" s="16">
        <v>46294</v>
      </c>
      <c r="F14" s="18">
        <v>46266</v>
      </c>
      <c r="G14" s="19">
        <v>7</v>
      </c>
      <c r="H14" s="6">
        <v>1</v>
      </c>
      <c r="I14" s="3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</row>
    <row r="15" spans="1:67" ht="30" customHeight="1" x14ac:dyDescent="0.3">
      <c r="B15" t="s">
        <v>21</v>
      </c>
      <c r="C15" s="16">
        <v>46290.5</v>
      </c>
      <c r="D15" s="17">
        <v>1</v>
      </c>
      <c r="E15" s="16">
        <v>46297.5</v>
      </c>
      <c r="F15" s="18">
        <v>46280</v>
      </c>
      <c r="G15" s="19">
        <v>10.5</v>
      </c>
      <c r="H15" s="6">
        <v>0.65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</row>
    <row r="16" spans="1:67" ht="30" customHeight="1" x14ac:dyDescent="0.3">
      <c r="B16" t="s">
        <v>22</v>
      </c>
      <c r="C16" s="16">
        <v>46297.5</v>
      </c>
      <c r="D16" s="17">
        <v>0.5</v>
      </c>
      <c r="E16" s="16">
        <v>46301</v>
      </c>
      <c r="F16" s="18">
        <v>46287</v>
      </c>
      <c r="G16" s="19">
        <v>7</v>
      </c>
      <c r="H16" s="6">
        <v>0.6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</row>
    <row r="17" spans="2:67" ht="30" customHeight="1" x14ac:dyDescent="0.35">
      <c r="B17" s="2" t="s">
        <v>23</v>
      </c>
      <c r="N17" s="1" t="s">
        <v>47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</row>
    <row r="18" spans="2:67" ht="30" customHeight="1" x14ac:dyDescent="0.3">
      <c r="B18" t="s">
        <v>24</v>
      </c>
      <c r="C18" s="16">
        <v>46308</v>
      </c>
      <c r="D18" s="17">
        <v>0.5</v>
      </c>
      <c r="E18" s="16">
        <v>46311.5</v>
      </c>
      <c r="F18" s="5"/>
      <c r="G18" s="5"/>
      <c r="H18" s="6">
        <v>0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</row>
    <row r="19" spans="2:67" ht="30" customHeight="1" x14ac:dyDescent="0.3">
      <c r="B19" t="s">
        <v>25</v>
      </c>
      <c r="C19" s="16">
        <v>46311.5</v>
      </c>
      <c r="D19" s="17">
        <v>0.5</v>
      </c>
      <c r="E19" s="16">
        <v>46315</v>
      </c>
      <c r="F19" s="5"/>
      <c r="G19" s="5"/>
      <c r="H19" s="6">
        <v>0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</row>
    <row r="20" spans="2:67" ht="30" customHeight="1" x14ac:dyDescent="0.3">
      <c r="B20" t="s">
        <v>26</v>
      </c>
      <c r="C20" s="16">
        <v>46311.5</v>
      </c>
      <c r="D20" s="17">
        <v>0.5</v>
      </c>
      <c r="E20" s="16">
        <v>46315</v>
      </c>
      <c r="F20" s="5"/>
      <c r="G20" s="5"/>
      <c r="H20" s="6">
        <v>0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</row>
    <row r="21" spans="2:67" ht="30" customHeight="1" x14ac:dyDescent="0.3">
      <c r="B21" t="s">
        <v>27</v>
      </c>
      <c r="C21" s="16">
        <v>46318.5</v>
      </c>
      <c r="D21" s="17">
        <v>0.5</v>
      </c>
      <c r="E21" s="16">
        <v>46322</v>
      </c>
      <c r="F21" s="5"/>
      <c r="G21" s="5"/>
      <c r="H21" s="6">
        <v>0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</row>
    <row r="22" spans="2:67" ht="30" customHeight="1" x14ac:dyDescent="0.3">
      <c r="B22" t="s">
        <v>28</v>
      </c>
      <c r="C22" s="16">
        <v>46322</v>
      </c>
      <c r="D22" s="17">
        <v>0.5</v>
      </c>
      <c r="E22" s="16">
        <v>46325.5</v>
      </c>
      <c r="F22" s="5"/>
      <c r="G22" s="5"/>
      <c r="H22" s="6">
        <v>0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</row>
    <row r="23" spans="2:67" ht="30" customHeight="1" x14ac:dyDescent="0.35">
      <c r="B23" s="2" t="s">
        <v>29</v>
      </c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</row>
    <row r="24" spans="2:67" ht="30" customHeight="1" x14ac:dyDescent="0.3">
      <c r="B24" t="s">
        <v>30</v>
      </c>
      <c r="C24" s="16">
        <v>46294</v>
      </c>
      <c r="D24" s="17">
        <v>1</v>
      </c>
      <c r="E24" s="16">
        <v>46301</v>
      </c>
      <c r="F24" s="18">
        <v>46280</v>
      </c>
      <c r="G24" s="19">
        <v>7</v>
      </c>
      <c r="H24" s="6">
        <v>1</v>
      </c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</row>
    <row r="25" spans="2:67" ht="30" customHeight="1" x14ac:dyDescent="0.3">
      <c r="B25" t="s">
        <v>31</v>
      </c>
      <c r="C25" s="16">
        <v>46301</v>
      </c>
      <c r="D25" s="17">
        <v>1</v>
      </c>
      <c r="E25" s="16">
        <v>46308</v>
      </c>
      <c r="F25" s="18">
        <v>46287</v>
      </c>
      <c r="G25" s="19">
        <v>7</v>
      </c>
      <c r="H25" s="6">
        <v>1</v>
      </c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</row>
    <row r="26" spans="2:67" ht="30" customHeight="1" x14ac:dyDescent="0.3">
      <c r="B26" t="s">
        <v>32</v>
      </c>
      <c r="C26" s="16">
        <v>46308</v>
      </c>
      <c r="D26" s="17">
        <v>0.5</v>
      </c>
      <c r="E26" s="16">
        <v>46311.5</v>
      </c>
      <c r="F26" s="18">
        <v>46287</v>
      </c>
      <c r="G26" s="19">
        <v>3.5</v>
      </c>
      <c r="H26" s="6">
        <v>1</v>
      </c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</row>
    <row r="27" spans="2:67" ht="30" customHeight="1" x14ac:dyDescent="0.3">
      <c r="B27" t="s">
        <v>33</v>
      </c>
      <c r="C27" s="16">
        <v>46318.5</v>
      </c>
      <c r="D27" s="17">
        <v>0.5</v>
      </c>
      <c r="E27" s="16">
        <v>46322</v>
      </c>
      <c r="F27" s="5"/>
      <c r="G27" s="5"/>
      <c r="H27" s="6">
        <v>0</v>
      </c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</row>
    <row r="28" spans="2:67" ht="30" customHeight="1" x14ac:dyDescent="0.3">
      <c r="B28" t="s">
        <v>34</v>
      </c>
      <c r="C28" s="16">
        <v>46308</v>
      </c>
      <c r="D28" s="17">
        <v>0.5</v>
      </c>
      <c r="E28" s="16">
        <v>46311.5</v>
      </c>
      <c r="F28" s="18">
        <v>46290.5</v>
      </c>
      <c r="G28" s="19">
        <v>3.5</v>
      </c>
      <c r="H28" s="6">
        <v>0.85</v>
      </c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</row>
    <row r="29" spans="2:67" ht="30" customHeight="1" x14ac:dyDescent="0.3">
      <c r="B29" t="s">
        <v>35</v>
      </c>
      <c r="C29" s="16">
        <v>46311.5</v>
      </c>
      <c r="D29" s="17">
        <v>0.5</v>
      </c>
      <c r="E29" s="16">
        <v>46315</v>
      </c>
      <c r="F29" s="18">
        <v>46294</v>
      </c>
      <c r="G29" s="19">
        <v>3.5</v>
      </c>
      <c r="H29" s="6">
        <v>0.85</v>
      </c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</row>
    <row r="30" spans="2:67" ht="30" customHeight="1" x14ac:dyDescent="0.35">
      <c r="B30" s="2" t="s">
        <v>36</v>
      </c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</row>
    <row r="31" spans="2:67" ht="30" customHeight="1" x14ac:dyDescent="0.3">
      <c r="B31" t="s">
        <v>37</v>
      </c>
      <c r="C31" s="16">
        <v>46325.5</v>
      </c>
      <c r="D31" s="17">
        <v>0.5</v>
      </c>
      <c r="E31" s="16">
        <v>46329</v>
      </c>
      <c r="F31" s="5"/>
      <c r="G31" s="5"/>
      <c r="H31" s="6">
        <v>0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</row>
    <row r="32" spans="2:67" ht="30" customHeight="1" x14ac:dyDescent="0.3">
      <c r="B32" t="s">
        <v>38</v>
      </c>
      <c r="C32" s="16">
        <v>46329</v>
      </c>
      <c r="D32" s="17">
        <v>0.5</v>
      </c>
      <c r="E32" s="16">
        <v>46332.5</v>
      </c>
      <c r="F32" s="5"/>
      <c r="G32" s="5"/>
      <c r="H32" s="6">
        <v>0</v>
      </c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</row>
    <row r="33" spans="2:67" ht="30" customHeight="1" x14ac:dyDescent="0.3">
      <c r="B33" t="s">
        <v>39</v>
      </c>
      <c r="C33" s="16">
        <v>46332.5</v>
      </c>
      <c r="D33" s="17">
        <v>1</v>
      </c>
      <c r="E33" s="16">
        <v>46339.5</v>
      </c>
      <c r="F33" s="5"/>
      <c r="G33" s="5"/>
      <c r="H33" s="6">
        <v>0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</row>
    <row r="34" spans="2:67" ht="30" customHeight="1" x14ac:dyDescent="0.35">
      <c r="B34" s="2" t="s">
        <v>40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</row>
    <row r="35" spans="2:67" ht="30" customHeight="1" x14ac:dyDescent="0.3">
      <c r="B35" t="s">
        <v>41</v>
      </c>
      <c r="C35" s="16">
        <v>46336</v>
      </c>
      <c r="D35" s="17">
        <v>0.5</v>
      </c>
      <c r="E35" s="16">
        <v>46339.5</v>
      </c>
      <c r="F35" s="5"/>
      <c r="G35" s="5"/>
      <c r="H35" s="6">
        <v>0</v>
      </c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</row>
    <row r="36" spans="2:67" ht="30" customHeight="1" x14ac:dyDescent="0.3">
      <c r="B36" t="s">
        <v>42</v>
      </c>
      <c r="C36" s="16">
        <v>46339.5</v>
      </c>
      <c r="D36" s="17">
        <v>1.6428571428571419</v>
      </c>
      <c r="E36" s="16">
        <v>46351</v>
      </c>
      <c r="F36" s="5"/>
      <c r="G36" s="5"/>
      <c r="H36" s="6">
        <v>0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</row>
    <row r="37" spans="2:67" ht="30" customHeight="1" x14ac:dyDescent="0.3">
      <c r="B37" t="s">
        <v>43</v>
      </c>
      <c r="C37" s="16">
        <v>46352.5</v>
      </c>
      <c r="D37" s="17">
        <v>0.5</v>
      </c>
      <c r="E37" s="16">
        <v>46356</v>
      </c>
      <c r="F37" s="5"/>
      <c r="G37" s="5"/>
      <c r="H37" s="6">
        <v>0</v>
      </c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</row>
    <row r="38" spans="2:67" ht="30" customHeight="1" x14ac:dyDescent="0.3">
      <c r="B38" t="s">
        <v>44</v>
      </c>
      <c r="C38" s="16">
        <v>46346.5</v>
      </c>
      <c r="D38" s="17">
        <v>0.5</v>
      </c>
      <c r="E38" s="16">
        <v>46350</v>
      </c>
      <c r="H38" s="6">
        <v>0</v>
      </c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</row>
    <row r="39" spans="2:67" ht="30" customHeight="1" x14ac:dyDescent="0.3">
      <c r="B39" t="s">
        <v>45</v>
      </c>
      <c r="C39" s="16">
        <v>46357.3</v>
      </c>
      <c r="D39" s="17">
        <v>0.1</v>
      </c>
      <c r="E39" s="16">
        <v>46358</v>
      </c>
      <c r="H39" s="6">
        <v>0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</row>
  </sheetData>
  <mergeCells count="4">
    <mergeCell ref="W2:Y2"/>
    <mergeCell ref="Z2:AF2"/>
    <mergeCell ref="R2:U2"/>
    <mergeCell ref="L2:P2"/>
  </mergeCells>
  <conditionalFormatting sqref="I5:W39">
    <cfRule type="expression" dxfId="32" priority="23">
      <formula>AND(I$4&gt;=$C5, I$4&lt;$E5, $C5&gt;0)</formula>
    </cfRule>
    <cfRule type="expression" dxfId="31" priority="24">
      <formula>AND(I$4&gt;=$F5, I$4&lt;$F5+$G5, $F5&gt;0)</formula>
    </cfRule>
    <cfRule type="expression" dxfId="30" priority="25">
      <formula>AND(I$4&gt;=$F5, I$4&lt;$F5+$G5*$H5, $F5&gt;0, $H5&gt;0)</formula>
    </cfRule>
  </conditionalFormatting>
  <conditionalFormatting sqref="X39:BO39">
    <cfRule type="expression" dxfId="29" priority="29">
      <formula>AND(#REF!&gt;=$C39, #REF!&lt;$E39, $C39&gt;0)</formula>
    </cfRule>
    <cfRule type="expression" dxfId="28" priority="30">
      <formula>AND(#REF!&gt;=$F39, #REF!&lt;$F39+$G39, $F39&gt;0)</formula>
    </cfRule>
    <cfRule type="expression" dxfId="27" priority="31">
      <formula>AND(#REF!&gt;=$F39, #REF!&lt;$F39+$G39*$H39, $F39&gt;0, $H39&gt;0)</formula>
    </cfRule>
  </conditionalFormatting>
  <conditionalFormatting sqref="Q2">
    <cfRule type="expression" dxfId="2" priority="1">
      <formula>AND(Q$4&gt;=$C2, Q$4&lt;$E2, $C2&gt;0)</formula>
    </cfRule>
    <cfRule type="expression" dxfId="1" priority="2">
      <formula>AND(Q$4&gt;=$F2, Q$4&lt;$F2+$G2, $F2&gt;0)</formula>
    </cfRule>
    <cfRule type="expression" dxfId="0" priority="3">
      <formula>AND(Q$4&gt;=$F2, Q$4&lt;$F2+$G2*$H2, $F2&gt;0, $H2&gt;0)</formula>
    </cfRule>
  </conditionalFormatting>
  <dataValidations count="13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D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G2" xr:uid="{00000000-0002-0000-0000-00000F000000}"/>
  </dataValidations>
  <printOptions horizontalCentered="1"/>
  <pageMargins left="0.45" right="0.45" top="0.5" bottom="0.5" header="0.3" footer="0.3"/>
  <pageSetup scale="40" fitToHeight="0" orientation="landscape"/>
  <headerFooter differentFirst="1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Project Planner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yvette lee</cp:lastModifiedBy>
  <dcterms:created xsi:type="dcterms:W3CDTF">2021-12-27T22:07:09Z</dcterms:created>
  <dcterms:modified xsi:type="dcterms:W3CDTF">2026-10-08T12:45:46Z</dcterms:modified>
</cp:coreProperties>
</file>